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lever-my.sharepoint.com/personal/james_joyce_unilever_com/Documents/09. Plant Based Meals/06. Cleanup/PlantBasedMeals/888_InputData/CaseStudyCustomDatasets/"/>
    </mc:Choice>
  </mc:AlternateContent>
  <xr:revisionPtr revIDLastSave="6" documentId="11_96083427F30DD6F102139F38CCE1AD09A11AA82F" xr6:coauthVersionLast="47" xr6:coauthVersionMax="47" xr10:uidLastSave="{BF0D6C36-76CE-4FB1-9C18-60DA33E5EF77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5" i="1" l="1"/>
  <c r="B28" i="1"/>
  <c r="I44" i="1"/>
  <c r="I43" i="1"/>
  <c r="I42" i="1"/>
  <c r="I41" i="1"/>
  <c r="I40" i="1"/>
  <c r="I39" i="1"/>
  <c r="I38" i="1"/>
  <c r="I37" i="1"/>
  <c r="I36" i="1"/>
  <c r="I23" i="1" l="1"/>
  <c r="I24" i="1"/>
  <c r="I25" i="1"/>
  <c r="I17" i="1"/>
  <c r="I18" i="1"/>
  <c r="I19" i="1"/>
  <c r="I20" i="1"/>
  <c r="I21" i="1"/>
  <c r="I22" i="1"/>
  <c r="I16" i="1"/>
  <c r="B7" i="1"/>
</calcChain>
</file>

<file path=xl/sharedStrings.xml><?xml version="1.0" encoding="utf-8"?>
<sst xmlns="http://schemas.openxmlformats.org/spreadsheetml/2006/main" count="244" uniqueCount="56">
  <si>
    <t>Spaghetti Bolognese {Germany} - beef</t>
  </si>
  <si>
    <t>p</t>
  </si>
  <si>
    <t>Tomato, fresh, at home/ DE</t>
  </si>
  <si>
    <t>g</t>
  </si>
  <si>
    <t>Pasta, at home/ DE</t>
  </si>
  <si>
    <t>Beef, fresh meat, at home/DE</t>
  </si>
  <si>
    <t>Olive oil, at home/DE</t>
  </si>
  <si>
    <t>Tap water {Europe without Switzerland}| market for | Cut-off, U</t>
  </si>
  <si>
    <t>UL Knorr MM Spaghetti Bolognese, at home/ DE</t>
  </si>
  <si>
    <t>Boiling, pasta, with electric stove, at consumer home (WFLDB 3.5)/DE</t>
  </si>
  <si>
    <t>Frying, beef, with electric stove, at consumer home (WFLDB 3.5)/DE</t>
  </si>
  <si>
    <t>Boiling, beef meal, with electric stove, at consumer home (WFLDB 3.5)/DE</t>
  </si>
  <si>
    <t>cutoff</t>
  </si>
  <si>
    <t>You can tell the importer to ignore some columns, where you can do calculations or take notes.</t>
  </si>
  <si>
    <t>Database</t>
  </si>
  <si>
    <t>You do this by putting the text `cutoff` in cell A1, and then the column number (it has to be a number) of the first column</t>
  </si>
  <si>
    <t>extracted from</t>
  </si>
  <si>
    <t>SimaPro</t>
  </si>
  <si>
    <t xml:space="preserve">to start ignoring. Start counting columns from A (1), B (2), etc. </t>
  </si>
  <si>
    <t>format</t>
  </si>
  <si>
    <t>Excel spreadsheet</t>
  </si>
  <si>
    <t>In this case, we will ignore columns J (10) and higher.</t>
  </si>
  <si>
    <t>Activity</t>
  </si>
  <si>
    <t>All columns past the first two for database and activity definitions are ignored in any case.</t>
  </si>
  <si>
    <t>categories</t>
  </si>
  <si>
    <t>code</t>
  </si>
  <si>
    <t>comment</t>
  </si>
  <si>
    <t>location</t>
  </si>
  <si>
    <t>DE</t>
  </si>
  <si>
    <t>production amount</t>
  </si>
  <si>
    <t>type</t>
  </si>
  <si>
    <t>process</t>
  </si>
  <si>
    <t>unit</t>
  </si>
  <si>
    <t>Exchanges</t>
  </si>
  <si>
    <t>name</t>
  </si>
  <si>
    <t>amount</t>
  </si>
  <si>
    <t>database</t>
  </si>
  <si>
    <t>uncertainty type</t>
  </si>
  <si>
    <t>loc</t>
  </si>
  <si>
    <t>scale</t>
  </si>
  <si>
    <t>shape</t>
  </si>
  <si>
    <t>minimum</t>
  </si>
  <si>
    <t>maximum</t>
  </si>
  <si>
    <t>production</t>
  </si>
  <si>
    <t>(Unknown)</t>
  </si>
  <si>
    <t>DE_AddProcesses</t>
  </si>
  <si>
    <t>ecoinvent3_5_cutoff</t>
  </si>
  <si>
    <t>Europe without Switzerland</t>
  </si>
  <si>
    <t>technosphere</t>
  </si>
  <si>
    <t>Spaghetti Bolognese {Germany} - lentils</t>
  </si>
  <si>
    <t>Lentils, canned, at home/DE</t>
  </si>
  <si>
    <t>Frying, lentils, with electric stove, at consumer home (WFLDB 3.5)/DE</t>
  </si>
  <si>
    <t>Boiling, lentil meal, with electric stove, at consumer home (WFLDB 3.5)/DE</t>
  </si>
  <si>
    <t>DE_Meals</t>
  </si>
  <si>
    <t>Spaghetti Bolognese -beef</t>
  </si>
  <si>
    <t>Spaghetti Bolognese - Lentil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</si>
</sst>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3" fillId="0" borderId="0" xfId="1"/>
    <xf numFmtId="0" fontId="4" fillId="0" borderId="0" xfId="1" applyFont="1"/>
    <xf numFmtId="0" fontId="5" fillId="0" borderId="0" xfId="1" applyFont="1"/>
    <xf numFmtId="0" fontId="6" fillId="0" borderId="0" xfId="1" applyFont="1"/>
    <xf numFmtId="0" fontId="2" fillId="0" borderId="0" xfId="1" applyFont="1"/>
    <xf numFmtId="0" fontId="1" fillId="0" borderId="0" xfId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showGridLines="0" tabSelected="1" workbookViewId="0">
      <selection activeCell="A9" sqref="A9:XFD9"/>
    </sheetView>
  </sheetViews>
  <sheetFormatPr defaultRowHeight="15" x14ac:dyDescent="0.25"/>
  <cols>
    <col min="1" max="1" width="82" customWidth="1"/>
    <col min="2" max="2" width="32.5703125" customWidth="1"/>
  </cols>
  <sheetData>
    <row r="1" spans="1:13" x14ac:dyDescent="0.25">
      <c r="A1" s="1" t="s">
        <v>12</v>
      </c>
      <c r="B1" s="1">
        <v>10</v>
      </c>
      <c r="C1" s="2" t="s">
        <v>13</v>
      </c>
    </row>
    <row r="2" spans="1:13" ht="15.75" x14ac:dyDescent="0.25">
      <c r="A2" s="3" t="s">
        <v>14</v>
      </c>
      <c r="B2" s="3" t="s">
        <v>53</v>
      </c>
      <c r="C2" s="2" t="s">
        <v>15</v>
      </c>
    </row>
    <row r="3" spans="1:13" x14ac:dyDescent="0.25">
      <c r="A3" s="1" t="s">
        <v>16</v>
      </c>
      <c r="B3" s="1" t="s">
        <v>17</v>
      </c>
      <c r="C3" s="2" t="s">
        <v>18</v>
      </c>
    </row>
    <row r="4" spans="1:13" x14ac:dyDescent="0.25">
      <c r="A4" s="1" t="s">
        <v>19</v>
      </c>
      <c r="B4" s="1" t="s">
        <v>20</v>
      </c>
      <c r="C4" s="2" t="s">
        <v>21</v>
      </c>
    </row>
    <row r="5" spans="1:13" x14ac:dyDescent="0.25">
      <c r="A5" s="1"/>
      <c r="B5" s="1"/>
      <c r="C5" s="1"/>
    </row>
    <row r="6" spans="1:13" ht="15.75" x14ac:dyDescent="0.25">
      <c r="A6" s="3" t="s">
        <v>22</v>
      </c>
      <c r="B6" t="s">
        <v>0</v>
      </c>
      <c r="C6" s="2" t="s">
        <v>23</v>
      </c>
    </row>
    <row r="7" spans="1:13" x14ac:dyDescent="0.25">
      <c r="A7" s="1" t="s">
        <v>25</v>
      </c>
      <c r="B7" s="1" t="str">
        <f ca="1">B2&amp;RANDBETWEEN(999,9999)</f>
        <v>DE_Meals8103</v>
      </c>
      <c r="C7" s="1"/>
    </row>
    <row r="8" spans="1:13" x14ac:dyDescent="0.25">
      <c r="A8" s="1" t="s">
        <v>26</v>
      </c>
      <c r="B8" s="6" t="s">
        <v>54</v>
      </c>
      <c r="C8" s="1"/>
    </row>
    <row r="9" spans="1:13" x14ac:dyDescent="0.25">
      <c r="A9" s="1" t="s">
        <v>27</v>
      </c>
      <c r="B9" s="1" t="s">
        <v>28</v>
      </c>
      <c r="C9" s="1"/>
    </row>
    <row r="10" spans="1:13" x14ac:dyDescent="0.25">
      <c r="A10" s="1" t="s">
        <v>29</v>
      </c>
      <c r="B10" s="1">
        <v>1</v>
      </c>
      <c r="C10" s="1"/>
    </row>
    <row r="11" spans="1:13" x14ac:dyDescent="0.25">
      <c r="A11" s="1" t="s">
        <v>30</v>
      </c>
      <c r="B11" s="1" t="s">
        <v>31</v>
      </c>
      <c r="C11" s="1"/>
    </row>
    <row r="12" spans="1:13" x14ac:dyDescent="0.25">
      <c r="A12" s="1" t="s">
        <v>32</v>
      </c>
      <c r="B12" s="1" t="s">
        <v>1</v>
      </c>
      <c r="C12" s="1"/>
    </row>
    <row r="13" spans="1:13" ht="15.75" x14ac:dyDescent="0.25">
      <c r="A13" s="3" t="s">
        <v>33</v>
      </c>
      <c r="B13" s="1"/>
      <c r="C13" s="1"/>
    </row>
    <row r="15" spans="1:13" s="1" customFormat="1" ht="15.75" x14ac:dyDescent="0.25">
      <c r="A15" s="3" t="s">
        <v>34</v>
      </c>
      <c r="B15" s="3" t="s">
        <v>35</v>
      </c>
      <c r="C15" s="3" t="s">
        <v>32</v>
      </c>
      <c r="D15" s="3" t="s">
        <v>36</v>
      </c>
      <c r="E15" s="3" t="s">
        <v>24</v>
      </c>
      <c r="F15" s="3" t="s">
        <v>27</v>
      </c>
      <c r="G15" s="3" t="s">
        <v>30</v>
      </c>
      <c r="H15" s="3" t="s">
        <v>37</v>
      </c>
      <c r="I15" s="3" t="s">
        <v>38</v>
      </c>
      <c r="J15" s="3" t="s">
        <v>39</v>
      </c>
      <c r="K15" s="3" t="s">
        <v>40</v>
      </c>
      <c r="L15" s="3" t="s">
        <v>41</v>
      </c>
      <c r="M15" s="3" t="s">
        <v>42</v>
      </c>
    </row>
    <row r="16" spans="1:13" x14ac:dyDescent="0.25">
      <c r="A16" t="s">
        <v>0</v>
      </c>
      <c r="B16">
        <v>1</v>
      </c>
      <c r="C16" t="s">
        <v>1</v>
      </c>
      <c r="D16" t="s">
        <v>53</v>
      </c>
      <c r="F16" t="s">
        <v>28</v>
      </c>
      <c r="G16" t="s">
        <v>43</v>
      </c>
      <c r="H16">
        <v>0</v>
      </c>
      <c r="I16">
        <f>B16</f>
        <v>1</v>
      </c>
      <c r="J16" s="1" t="s">
        <v>44</v>
      </c>
      <c r="K16" s="1" t="s">
        <v>44</v>
      </c>
      <c r="L16" s="1" t="s">
        <v>44</v>
      </c>
      <c r="M16" s="1" t="s">
        <v>44</v>
      </c>
    </row>
    <row r="17" spans="1:13" x14ac:dyDescent="0.25">
      <c r="A17" t="s">
        <v>2</v>
      </c>
      <c r="B17">
        <v>300</v>
      </c>
      <c r="C17" t="s">
        <v>3</v>
      </c>
      <c r="D17" t="s">
        <v>45</v>
      </c>
      <c r="F17" t="s">
        <v>28</v>
      </c>
      <c r="G17" t="s">
        <v>48</v>
      </c>
      <c r="H17">
        <v>0</v>
      </c>
      <c r="I17">
        <f t="shared" ref="I17:I22" si="0">B17</f>
        <v>300</v>
      </c>
      <c r="J17" s="1" t="s">
        <v>44</v>
      </c>
      <c r="K17" s="1" t="s">
        <v>44</v>
      </c>
      <c r="L17" s="1" t="s">
        <v>44</v>
      </c>
      <c r="M17" s="1" t="s">
        <v>44</v>
      </c>
    </row>
    <row r="18" spans="1:13" x14ac:dyDescent="0.25">
      <c r="A18" t="s">
        <v>4</v>
      </c>
      <c r="B18">
        <v>250</v>
      </c>
      <c r="C18" t="s">
        <v>3</v>
      </c>
      <c r="D18" t="s">
        <v>45</v>
      </c>
      <c r="F18" t="s">
        <v>28</v>
      </c>
      <c r="G18" t="s">
        <v>48</v>
      </c>
      <c r="H18">
        <v>0</v>
      </c>
      <c r="I18">
        <f t="shared" si="0"/>
        <v>250</v>
      </c>
      <c r="J18" s="1" t="s">
        <v>44</v>
      </c>
      <c r="K18" s="1" t="s">
        <v>44</v>
      </c>
      <c r="L18" s="1" t="s">
        <v>44</v>
      </c>
      <c r="M18" s="1" t="s">
        <v>44</v>
      </c>
    </row>
    <row r="19" spans="1:13" x14ac:dyDescent="0.25">
      <c r="A19" t="s">
        <v>5</v>
      </c>
      <c r="B19">
        <v>200</v>
      </c>
      <c r="C19" t="s">
        <v>3</v>
      </c>
      <c r="D19" t="s">
        <v>45</v>
      </c>
      <c r="F19" t="s">
        <v>28</v>
      </c>
      <c r="G19" t="s">
        <v>48</v>
      </c>
      <c r="H19">
        <v>0</v>
      </c>
      <c r="I19">
        <f t="shared" si="0"/>
        <v>200</v>
      </c>
      <c r="J19" s="1" t="s">
        <v>44</v>
      </c>
      <c r="K19" s="1" t="s">
        <v>44</v>
      </c>
      <c r="L19" s="1" t="s">
        <v>44</v>
      </c>
      <c r="M19" s="1" t="s">
        <v>44</v>
      </c>
    </row>
    <row r="20" spans="1:13" x14ac:dyDescent="0.25">
      <c r="A20" t="s">
        <v>6</v>
      </c>
      <c r="B20">
        <v>15</v>
      </c>
      <c r="C20" t="s">
        <v>3</v>
      </c>
      <c r="D20" t="s">
        <v>45</v>
      </c>
      <c r="F20" t="s">
        <v>28</v>
      </c>
      <c r="G20" t="s">
        <v>48</v>
      </c>
      <c r="H20">
        <v>0</v>
      </c>
      <c r="I20">
        <f t="shared" si="0"/>
        <v>15</v>
      </c>
      <c r="J20" s="1" t="s">
        <v>44</v>
      </c>
      <c r="K20" s="1" t="s">
        <v>44</v>
      </c>
      <c r="L20" s="1" t="s">
        <v>44</v>
      </c>
      <c r="M20" s="1" t="s">
        <v>44</v>
      </c>
    </row>
    <row r="21" spans="1:13" x14ac:dyDescent="0.25">
      <c r="A21" t="s">
        <v>7</v>
      </c>
      <c r="B21">
        <v>3230</v>
      </c>
      <c r="C21" t="s">
        <v>3</v>
      </c>
      <c r="D21" t="s">
        <v>46</v>
      </c>
      <c r="F21" t="s">
        <v>47</v>
      </c>
      <c r="G21" t="s">
        <v>48</v>
      </c>
      <c r="H21">
        <v>0</v>
      </c>
      <c r="I21">
        <f t="shared" si="0"/>
        <v>3230</v>
      </c>
      <c r="J21" s="1" t="s">
        <v>44</v>
      </c>
      <c r="K21" s="1" t="s">
        <v>44</v>
      </c>
      <c r="L21" s="1" t="s">
        <v>44</v>
      </c>
      <c r="M21" s="1" t="s">
        <v>44</v>
      </c>
    </row>
    <row r="22" spans="1:13" x14ac:dyDescent="0.25">
      <c r="A22" t="s">
        <v>8</v>
      </c>
      <c r="B22">
        <v>43</v>
      </c>
      <c r="C22" t="s">
        <v>3</v>
      </c>
      <c r="D22" t="s">
        <v>45</v>
      </c>
      <c r="F22" t="s">
        <v>28</v>
      </c>
      <c r="G22" t="s">
        <v>48</v>
      </c>
      <c r="H22">
        <v>0</v>
      </c>
      <c r="I22">
        <f t="shared" si="0"/>
        <v>43</v>
      </c>
      <c r="J22" s="1" t="s">
        <v>44</v>
      </c>
      <c r="K22" s="1" t="s">
        <v>44</v>
      </c>
      <c r="L22" s="1" t="s">
        <v>44</v>
      </c>
      <c r="M22" s="1" t="s">
        <v>44</v>
      </c>
    </row>
    <row r="23" spans="1:13" x14ac:dyDescent="0.25">
      <c r="A23" t="s">
        <v>9</v>
      </c>
      <c r="B23">
        <v>1</v>
      </c>
      <c r="C23" t="s">
        <v>1</v>
      </c>
      <c r="D23" t="s">
        <v>45</v>
      </c>
      <c r="F23" t="s">
        <v>28</v>
      </c>
      <c r="G23" t="s">
        <v>48</v>
      </c>
      <c r="H23">
        <v>0</v>
      </c>
      <c r="I23">
        <f t="shared" ref="I23:I25" si="1">B23</f>
        <v>1</v>
      </c>
      <c r="J23" s="1" t="s">
        <v>44</v>
      </c>
      <c r="K23" s="1" t="s">
        <v>44</v>
      </c>
      <c r="L23" s="1" t="s">
        <v>44</v>
      </c>
      <c r="M23" s="1" t="s">
        <v>44</v>
      </c>
    </row>
    <row r="24" spans="1:13" x14ac:dyDescent="0.25">
      <c r="A24" t="s">
        <v>10</v>
      </c>
      <c r="B24">
        <v>1</v>
      </c>
      <c r="C24" t="s">
        <v>1</v>
      </c>
      <c r="D24" t="s">
        <v>45</v>
      </c>
      <c r="F24" t="s">
        <v>28</v>
      </c>
      <c r="G24" t="s">
        <v>48</v>
      </c>
      <c r="H24">
        <v>0</v>
      </c>
      <c r="I24">
        <f t="shared" si="1"/>
        <v>1</v>
      </c>
      <c r="J24" s="1" t="s">
        <v>44</v>
      </c>
      <c r="K24" s="1" t="s">
        <v>44</v>
      </c>
      <c r="L24" s="1" t="s">
        <v>44</v>
      </c>
      <c r="M24" s="1" t="s">
        <v>44</v>
      </c>
    </row>
    <row r="25" spans="1:13" x14ac:dyDescent="0.25">
      <c r="A25" t="s">
        <v>11</v>
      </c>
      <c r="B25">
        <v>1</v>
      </c>
      <c r="C25" t="s">
        <v>1</v>
      </c>
      <c r="D25" t="s">
        <v>45</v>
      </c>
      <c r="F25" t="s">
        <v>28</v>
      </c>
      <c r="G25" t="s">
        <v>48</v>
      </c>
      <c r="H25">
        <v>0</v>
      </c>
      <c r="I25">
        <f t="shared" si="1"/>
        <v>1</v>
      </c>
      <c r="J25" s="1" t="s">
        <v>44</v>
      </c>
      <c r="K25" s="1" t="s">
        <v>44</v>
      </c>
      <c r="L25" s="1" t="s">
        <v>44</v>
      </c>
      <c r="M25" s="1" t="s">
        <v>44</v>
      </c>
    </row>
    <row r="27" spans="1:13" s="1" customFormat="1" ht="15.75" x14ac:dyDescent="0.25">
      <c r="A27" s="3" t="s">
        <v>22</v>
      </c>
      <c r="B27" t="s">
        <v>49</v>
      </c>
      <c r="C27" s="2" t="s">
        <v>23</v>
      </c>
    </row>
    <row r="28" spans="1:13" s="1" customFormat="1" x14ac:dyDescent="0.25">
      <c r="A28" s="1" t="s">
        <v>25</v>
      </c>
      <c r="B28" s="1" t="str">
        <f ca="1">B2&amp;RANDBETWEEN(999,9999)</f>
        <v>DE_Meals6800</v>
      </c>
    </row>
    <row r="29" spans="1:13" s="1" customFormat="1" x14ac:dyDescent="0.25">
      <c r="A29" s="1" t="s">
        <v>26</v>
      </c>
      <c r="B29" s="6" t="s">
        <v>55</v>
      </c>
    </row>
    <row r="30" spans="1:13" s="1" customFormat="1" x14ac:dyDescent="0.25">
      <c r="A30" s="1" t="s">
        <v>27</v>
      </c>
      <c r="B30" s="1" t="s">
        <v>28</v>
      </c>
    </row>
    <row r="31" spans="1:13" s="1" customFormat="1" x14ac:dyDescent="0.25">
      <c r="A31" s="1" t="s">
        <v>29</v>
      </c>
      <c r="B31" s="1">
        <v>1</v>
      </c>
    </row>
    <row r="32" spans="1:13" s="1" customFormat="1" x14ac:dyDescent="0.25">
      <c r="A32" s="1" t="s">
        <v>30</v>
      </c>
      <c r="B32" s="1" t="s">
        <v>31</v>
      </c>
    </row>
    <row r="33" spans="1:13" s="1" customFormat="1" x14ac:dyDescent="0.25">
      <c r="A33" s="1" t="s">
        <v>32</v>
      </c>
      <c r="B33" s="1" t="s">
        <v>1</v>
      </c>
    </row>
    <row r="34" spans="1:13" s="1" customFormat="1" ht="15.75" x14ac:dyDescent="0.25">
      <c r="A34" s="3" t="s">
        <v>33</v>
      </c>
    </row>
    <row r="35" spans="1:13" s="1" customFormat="1" ht="15.75" x14ac:dyDescent="0.25">
      <c r="A35" s="3" t="s">
        <v>34</v>
      </c>
      <c r="B35" s="3" t="s">
        <v>35</v>
      </c>
      <c r="C35" s="3" t="s">
        <v>32</v>
      </c>
      <c r="D35" s="3" t="s">
        <v>36</v>
      </c>
      <c r="E35" s="3" t="s">
        <v>24</v>
      </c>
      <c r="F35" s="3" t="s">
        <v>27</v>
      </c>
      <c r="G35" s="3" t="s">
        <v>30</v>
      </c>
      <c r="H35" s="3" t="s">
        <v>37</v>
      </c>
      <c r="I35" s="3" t="s">
        <v>38</v>
      </c>
      <c r="J35" s="3" t="s">
        <v>39</v>
      </c>
      <c r="K35" s="3" t="s">
        <v>40</v>
      </c>
      <c r="L35" s="3" t="s">
        <v>41</v>
      </c>
      <c r="M35" s="3" t="s">
        <v>42</v>
      </c>
    </row>
    <row r="36" spans="1:13" s="1" customFormat="1" ht="15.75" x14ac:dyDescent="0.25">
      <c r="A36" t="s">
        <v>49</v>
      </c>
      <c r="B36">
        <v>1</v>
      </c>
      <c r="C36" t="s">
        <v>1</v>
      </c>
      <c r="D36" s="4" t="s">
        <v>53</v>
      </c>
      <c r="E36" s="4"/>
      <c r="F36" s="4" t="s">
        <v>28</v>
      </c>
      <c r="G36" s="4" t="s">
        <v>43</v>
      </c>
      <c r="H36" s="5">
        <v>0</v>
      </c>
      <c r="I36" s="4">
        <f>B36</f>
        <v>1</v>
      </c>
      <c r="J36" s="1" t="s">
        <v>44</v>
      </c>
      <c r="K36" s="1" t="s">
        <v>44</v>
      </c>
      <c r="L36" s="1" t="s">
        <v>44</v>
      </c>
      <c r="M36" s="1" t="s">
        <v>44</v>
      </c>
    </row>
    <row r="37" spans="1:13" s="1" customFormat="1" ht="15.75" x14ac:dyDescent="0.25">
      <c r="A37" t="s">
        <v>2</v>
      </c>
      <c r="B37">
        <v>300</v>
      </c>
      <c r="C37" t="s">
        <v>3</v>
      </c>
      <c r="D37" t="s">
        <v>45</v>
      </c>
      <c r="E37" s="5"/>
      <c r="F37" s="5" t="s">
        <v>28</v>
      </c>
      <c r="G37" s="5" t="s">
        <v>48</v>
      </c>
      <c r="H37" s="1">
        <v>0</v>
      </c>
      <c r="I37" s="4">
        <f t="shared" ref="I37:I44" si="2">B37</f>
        <v>300</v>
      </c>
      <c r="J37" s="1" t="s">
        <v>44</v>
      </c>
      <c r="K37" s="1" t="s">
        <v>44</v>
      </c>
      <c r="L37" s="1" t="s">
        <v>44</v>
      </c>
      <c r="M37" s="1" t="s">
        <v>44</v>
      </c>
    </row>
    <row r="38" spans="1:13" s="1" customFormat="1" ht="15.75" x14ac:dyDescent="0.25">
      <c r="A38" t="s">
        <v>50</v>
      </c>
      <c r="B38">
        <v>265</v>
      </c>
      <c r="C38" t="s">
        <v>3</v>
      </c>
      <c r="D38" t="s">
        <v>45</v>
      </c>
      <c r="E38" s="5"/>
      <c r="F38" s="5" t="s">
        <v>28</v>
      </c>
      <c r="G38" s="5" t="s">
        <v>48</v>
      </c>
      <c r="H38" s="1">
        <v>0</v>
      </c>
      <c r="I38" s="4">
        <f t="shared" si="2"/>
        <v>265</v>
      </c>
      <c r="J38" s="1" t="s">
        <v>44</v>
      </c>
      <c r="K38" s="1" t="s">
        <v>44</v>
      </c>
      <c r="L38" s="1" t="s">
        <v>44</v>
      </c>
      <c r="M38" s="1" t="s">
        <v>44</v>
      </c>
    </row>
    <row r="39" spans="1:13" s="1" customFormat="1" ht="15.75" x14ac:dyDescent="0.25">
      <c r="A39" t="s">
        <v>4</v>
      </c>
      <c r="B39">
        <v>250</v>
      </c>
      <c r="C39" t="s">
        <v>3</v>
      </c>
      <c r="D39" t="s">
        <v>45</v>
      </c>
      <c r="E39" s="5"/>
      <c r="F39" s="5" t="s">
        <v>28</v>
      </c>
      <c r="G39" s="5" t="s">
        <v>48</v>
      </c>
      <c r="H39" s="1">
        <v>0</v>
      </c>
      <c r="I39" s="4">
        <f t="shared" si="2"/>
        <v>250</v>
      </c>
      <c r="J39" s="1" t="s">
        <v>44</v>
      </c>
      <c r="K39" s="1" t="s">
        <v>44</v>
      </c>
      <c r="L39" s="1" t="s">
        <v>44</v>
      </c>
      <c r="M39" s="1" t="s">
        <v>44</v>
      </c>
    </row>
    <row r="40" spans="1:13" s="1" customFormat="1" ht="15.75" x14ac:dyDescent="0.25">
      <c r="A40" t="s">
        <v>6</v>
      </c>
      <c r="B40">
        <v>15</v>
      </c>
      <c r="C40" t="s">
        <v>3</v>
      </c>
      <c r="D40" t="s">
        <v>45</v>
      </c>
      <c r="E40" s="5"/>
      <c r="F40" s="5" t="s">
        <v>47</v>
      </c>
      <c r="G40" s="5" t="s">
        <v>48</v>
      </c>
      <c r="H40" s="1">
        <v>0</v>
      </c>
      <c r="I40" s="4">
        <f t="shared" si="2"/>
        <v>15</v>
      </c>
      <c r="J40" s="1" t="s">
        <v>44</v>
      </c>
      <c r="K40" s="1" t="s">
        <v>44</v>
      </c>
      <c r="L40" s="1" t="s">
        <v>44</v>
      </c>
      <c r="M40" s="1" t="s">
        <v>44</v>
      </c>
    </row>
    <row r="41" spans="1:13" s="1" customFormat="1" ht="15.75" x14ac:dyDescent="0.25">
      <c r="A41" t="s">
        <v>7</v>
      </c>
      <c r="B41">
        <v>3230</v>
      </c>
      <c r="C41" t="s">
        <v>3</v>
      </c>
      <c r="D41" t="s">
        <v>46</v>
      </c>
      <c r="E41" s="5"/>
      <c r="F41" s="5" t="s">
        <v>28</v>
      </c>
      <c r="G41" s="4" t="s">
        <v>48</v>
      </c>
      <c r="H41" s="1">
        <v>0</v>
      </c>
      <c r="I41" s="4">
        <f t="shared" si="2"/>
        <v>3230</v>
      </c>
      <c r="J41" s="1" t="s">
        <v>44</v>
      </c>
      <c r="K41" s="1" t="s">
        <v>44</v>
      </c>
      <c r="L41" s="1" t="s">
        <v>44</v>
      </c>
      <c r="M41" s="1" t="s">
        <v>44</v>
      </c>
    </row>
    <row r="42" spans="1:13" s="1" customFormat="1" ht="15.75" x14ac:dyDescent="0.25">
      <c r="A42" t="s">
        <v>8</v>
      </c>
      <c r="B42">
        <v>43</v>
      </c>
      <c r="C42" t="s">
        <v>3</v>
      </c>
      <c r="D42" t="s">
        <v>45</v>
      </c>
      <c r="E42" s="5"/>
      <c r="F42" s="5" t="s">
        <v>28</v>
      </c>
      <c r="G42" s="4" t="s">
        <v>48</v>
      </c>
      <c r="H42" s="1">
        <v>0</v>
      </c>
      <c r="I42" s="4">
        <f t="shared" si="2"/>
        <v>43</v>
      </c>
      <c r="J42" s="1" t="s">
        <v>44</v>
      </c>
      <c r="K42" s="1" t="s">
        <v>44</v>
      </c>
      <c r="L42" s="1" t="s">
        <v>44</v>
      </c>
      <c r="M42" s="1" t="s">
        <v>44</v>
      </c>
    </row>
    <row r="43" spans="1:13" s="1" customFormat="1" ht="15.75" x14ac:dyDescent="0.25">
      <c r="A43" t="s">
        <v>9</v>
      </c>
      <c r="B43">
        <v>1</v>
      </c>
      <c r="C43" t="s">
        <v>1</v>
      </c>
      <c r="D43" t="s">
        <v>45</v>
      </c>
      <c r="E43" s="5"/>
      <c r="F43" s="5" t="s">
        <v>28</v>
      </c>
      <c r="G43" s="4" t="s">
        <v>48</v>
      </c>
      <c r="H43" s="1">
        <v>0</v>
      </c>
      <c r="I43" s="4">
        <f t="shared" si="2"/>
        <v>1</v>
      </c>
      <c r="J43" s="1" t="s">
        <v>44</v>
      </c>
      <c r="K43" s="1" t="s">
        <v>44</v>
      </c>
      <c r="L43" s="1" t="s">
        <v>44</v>
      </c>
      <c r="M43" s="1" t="s">
        <v>44</v>
      </c>
    </row>
    <row r="44" spans="1:13" s="1" customFormat="1" ht="15.75" x14ac:dyDescent="0.25">
      <c r="A44" t="s">
        <v>51</v>
      </c>
      <c r="B44">
        <v>1</v>
      </c>
      <c r="C44" t="s">
        <v>1</v>
      </c>
      <c r="D44" t="s">
        <v>45</v>
      </c>
      <c r="E44" s="5"/>
      <c r="F44" s="5" t="s">
        <v>28</v>
      </c>
      <c r="G44" s="4" t="s">
        <v>48</v>
      </c>
      <c r="H44" s="1">
        <v>0</v>
      </c>
      <c r="I44" s="4">
        <f t="shared" si="2"/>
        <v>1</v>
      </c>
      <c r="J44" s="1" t="s">
        <v>44</v>
      </c>
      <c r="K44" s="1" t="s">
        <v>44</v>
      </c>
      <c r="L44" s="1" t="s">
        <v>44</v>
      </c>
      <c r="M44" s="1" t="s">
        <v>44</v>
      </c>
    </row>
    <row r="45" spans="1:13" ht="15.75" x14ac:dyDescent="0.25">
      <c r="A45" t="s">
        <v>52</v>
      </c>
      <c r="B45">
        <v>1</v>
      </c>
      <c r="C45" t="s">
        <v>1</v>
      </c>
      <c r="D45" t="s">
        <v>45</v>
      </c>
      <c r="G45" s="4" t="s">
        <v>48</v>
      </c>
      <c r="H45" s="1">
        <v>0</v>
      </c>
      <c r="I45" s="4">
        <f t="shared" ref="I45" si="3">B45</f>
        <v>1</v>
      </c>
      <c r="J45" s="1" t="s">
        <v>44</v>
      </c>
      <c r="K45" s="1" t="s">
        <v>44</v>
      </c>
      <c r="L45" s="1" t="s">
        <v>44</v>
      </c>
      <c r="M45" s="1" t="s">
        <v>44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marquardt</dc:creator>
  <cp:lastModifiedBy>Joyce, James</cp:lastModifiedBy>
  <dcterms:created xsi:type="dcterms:W3CDTF">2020-11-05T16:15:32Z</dcterms:created>
  <dcterms:modified xsi:type="dcterms:W3CDTF">2022-03-28T21:49:23Z</dcterms:modified>
</cp:coreProperties>
</file>